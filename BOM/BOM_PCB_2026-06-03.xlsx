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<sst xmlns="http://schemas.openxmlformats.org/spreadsheetml/2006/main" count="567" uniqueCount="260">
  <si>
    <t/>
  </si>
  <si>
    <t xml:space="preserve">Bill of Materials </t>
  </si>
  <si>
    <t>BOM_Leo_V1_STEP/DIR/SPI(已验证)_PCB1_2026-06-03</t>
  </si>
  <si>
    <t>Project Title：</t>
  </si>
  <si>
    <t>OnStep</t>
  </si>
  <si>
    <t>Variant:</t>
  </si>
  <si>
    <t xml:space="preserve"> </t>
  </si>
  <si>
    <t>Report Time：</t>
  </si>
  <si>
    <t>2026年6月3日 21:4:49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</si>
  <si>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</si>
  <si>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</si>
  <si>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</si>
  <si>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</si>
  <si>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</si>
  <si>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</si>
  <si>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</si>
  <si>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</si>
  <si>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</si>
  <si>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</si>
  <si>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</si>
  <si>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</si>
  <si>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CR1220-2</t>
  </si>
  <si>
    <t>B1</t>
  </si>
  <si>
    <t>BAT-SMD_CR1220-2</t>
  </si>
  <si>
    <t>QIJEY</t>
  </si>
  <si>
    <t>C70381</t>
  </si>
  <si>
    <t>LCSC</t>
  </si>
  <si>
    <t>TS-1101-C-W</t>
  </si>
  <si>
    <t>BOOT, RESET</t>
  </si>
  <si>
    <t>SW-SMD_L6.0-W3.3-LS8.0</t>
  </si>
  <si>
    <t>XKB Connectivity(中国星坤)</t>
  </si>
  <si>
    <t>C318938</t>
  </si>
  <si>
    <t>WAFER-XH254Z-2A</t>
  </si>
  <si>
    <t>BRAKE</t>
  </si>
  <si>
    <t>CONN-TH_2P-P2.50_XH-2A_3045048</t>
  </si>
  <si>
    <t>HANBO(汉博)</t>
  </si>
  <si>
    <t>C7432682</t>
  </si>
  <si>
    <t>100uF</t>
  </si>
  <si>
    <t>C1, C6, C7</t>
  </si>
  <si>
    <t>C1210</t>
  </si>
  <si>
    <t>EMK325ABJ107MM-T</t>
  </si>
  <si>
    <t>TAIYO YUDEN(太诱)</t>
  </si>
  <si>
    <t>C394395</t>
  </si>
  <si>
    <t>4.7uF</t>
  </si>
  <si>
    <t>C2, C3</t>
  </si>
  <si>
    <t>C0603_1</t>
  </si>
  <si>
    <t>10nF</t>
  </si>
  <si>
    <t>C4, C5, C8, C10</t>
  </si>
  <si>
    <t>10uF</t>
  </si>
  <si>
    <t>C9</t>
  </si>
  <si>
    <t>C11, C13, C15, C17</t>
  </si>
  <si>
    <t>C0805</t>
  </si>
  <si>
    <t>CL21A106KAYNNNE</t>
  </si>
  <si>
    <t>SAMSUNG(三星)</t>
  </si>
  <si>
    <t>C15850</t>
  </si>
  <si>
    <t>100nF</t>
  </si>
  <si>
    <t>C12, C14, C16, C18</t>
  </si>
  <si>
    <t>C0603</t>
  </si>
  <si>
    <t>CL10B104KB8NNNC</t>
  </si>
  <si>
    <t>C1591</t>
  </si>
  <si>
    <t>C19, C24, C25, C26, C27</t>
  </si>
  <si>
    <t>C20</t>
  </si>
  <si>
    <t>CASE-A_3216</t>
  </si>
  <si>
    <t>T491A106K010AT</t>
  </si>
  <si>
    <t>KEMET(基美)</t>
  </si>
  <si>
    <t>C1508940</t>
  </si>
  <si>
    <t>C21</t>
  </si>
  <si>
    <t>CGA0603X7R104K500JT</t>
  </si>
  <si>
    <t>HRE(芯声)</t>
  </si>
  <si>
    <t>C6119867</t>
  </si>
  <si>
    <t>C22</t>
  </si>
  <si>
    <t>CGA0603X5R106K100JT</t>
  </si>
  <si>
    <t>C6119842</t>
  </si>
  <si>
    <t>1uF</t>
  </si>
  <si>
    <t>C23</t>
  </si>
  <si>
    <t>C28, C29</t>
  </si>
  <si>
    <t>CAP-SMD_BD6.3-L6.6-W6.6-LS7.3-FD-H7.7</t>
  </si>
  <si>
    <t>JVJ50V100M6x8</t>
  </si>
  <si>
    <t>JIERR(捷而瑞)</t>
  </si>
  <si>
    <t>C46550415</t>
  </si>
  <si>
    <t>XT30U-M</t>
  </si>
  <si>
    <t>CN1</t>
  </si>
  <si>
    <t>CONN-TH_XT30U-M</t>
  </si>
  <si>
    <t>AMASS(艾迈斯)</t>
  </si>
  <si>
    <t>C99101</t>
  </si>
  <si>
    <t>RA-XH254</t>
  </si>
  <si>
    <t>CN2</t>
  </si>
  <si>
    <t>CONN-TH_XH-4A</t>
  </si>
  <si>
    <t>WAFER-XH254Z-4A</t>
  </si>
  <si>
    <t>C7432684</t>
  </si>
  <si>
    <t>DEC-XH254</t>
  </si>
  <si>
    <t>CN3</t>
  </si>
  <si>
    <t>SK1045C</t>
  </si>
  <si>
    <t>D1</t>
  </si>
  <si>
    <t>SMC_L6.9-W5.9-LS7.9-RD</t>
  </si>
  <si>
    <t>R+O(宏嘉诚)</t>
  </si>
  <si>
    <t>C18199212</t>
  </si>
  <si>
    <t>SMAJ28A</t>
  </si>
  <si>
    <t>D2</t>
  </si>
  <si>
    <t>SMA_L4.3-W2.6-LS5.2-RD</t>
  </si>
  <si>
    <t>晶导微电子</t>
  </si>
  <si>
    <t>C353458</t>
  </si>
  <si>
    <t>1N5819W</t>
  </si>
  <si>
    <t>D3, D6, D7</t>
  </si>
  <si>
    <t>SOD-123_L2.7-W1.6-LS3.7-RD</t>
  </si>
  <si>
    <t>GOODWORK(固得沃克)</t>
  </si>
  <si>
    <t>C41431973</t>
  </si>
  <si>
    <t>SMF5.0A</t>
  </si>
  <si>
    <t>D4</t>
  </si>
  <si>
    <t>SOD-123FL_L2.7-W1.8-LS3.8-RD</t>
  </si>
  <si>
    <t>C19077497</t>
  </si>
  <si>
    <t>1N4007</t>
  </si>
  <si>
    <t>D5</t>
  </si>
  <si>
    <t>SMA_L4.3-W2.5-LS5.0-RD</t>
  </si>
  <si>
    <t>TWGMC(迪嘉)</t>
  </si>
  <si>
    <t>C727081</t>
  </si>
  <si>
    <t>PRTR5V0U2X</t>
  </si>
  <si>
    <t>D9</t>
  </si>
  <si>
    <t>SOT-143-4_L2.9-W1.3-P1.92-LS2.4-BL</t>
  </si>
  <si>
    <t>TECH PUBLIC(台舟)</t>
  </si>
  <si>
    <t>C2827688</t>
  </si>
  <si>
    <t>DC005</t>
  </si>
  <si>
    <t>DC1</t>
  </si>
  <si>
    <t>DC-IN-TH_DC005</t>
  </si>
  <si>
    <t>SHOU HAN(首韩)</t>
  </si>
  <si>
    <t>C431533</t>
  </si>
  <si>
    <t>K0805L100AR</t>
  </si>
  <si>
    <t>F1</t>
  </si>
  <si>
    <t>F0805</t>
  </si>
  <si>
    <t>KUU</t>
  </si>
  <si>
    <t>C2892413</t>
  </si>
  <si>
    <t>HC-ZH1.5-2A</t>
  </si>
  <si>
    <t>HOME-BUTTON, POWER-LED, STATUS-LED</t>
  </si>
  <si>
    <t>CONN-TH_2P-P1.50_HCTL_HC-ZH1.5-2A</t>
  </si>
  <si>
    <t>HCTL(华灿天禄)</t>
  </si>
  <si>
    <t>C2845550</t>
  </si>
  <si>
    <t>15uH</t>
  </si>
  <si>
    <t>L1</t>
  </si>
  <si>
    <t>IND-SMD_L7.0-W6.6</t>
  </si>
  <si>
    <t>FXL0650-150-M</t>
  </si>
  <si>
    <t>cjiang(长江微电)</t>
  </si>
  <si>
    <t>C475522</t>
  </si>
  <si>
    <t>GL0603UR01</t>
  </si>
  <si>
    <t>LINK-LED</t>
  </si>
  <si>
    <t>LED0603-FD</t>
  </si>
  <si>
    <t>Guiguang light(桂光光电)</t>
  </si>
  <si>
    <t>C51933292</t>
  </si>
  <si>
    <t>SS8050</t>
  </si>
  <si>
    <t>Q1, Q2</t>
  </si>
  <si>
    <t>SOT-23-3_L2.9-W1.3-P1.90-LS2.4-BR</t>
  </si>
  <si>
    <t>JSMSEMI(杰盛微)</t>
  </si>
  <si>
    <t>C916392</t>
  </si>
  <si>
    <t>10K</t>
  </si>
  <si>
    <t>R1</t>
  </si>
  <si>
    <t>R0603_1</t>
  </si>
  <si>
    <t>3.16K</t>
  </si>
  <si>
    <t>R2</t>
  </si>
  <si>
    <t>510Ω</t>
  </si>
  <si>
    <t>R3, R4</t>
  </si>
  <si>
    <t>R0603</t>
  </si>
  <si>
    <t>0603WAF5100T5E</t>
  </si>
  <si>
    <t>UNI-ROYAL(厚声)</t>
  </si>
  <si>
    <t>C23193</t>
  </si>
  <si>
    <t>12kΩ</t>
  </si>
  <si>
    <t>R5, R6</t>
  </si>
  <si>
    <t>0603WAF1202T5E</t>
  </si>
  <si>
    <t>C22790</t>
  </si>
  <si>
    <t>2K</t>
  </si>
  <si>
    <t>R7</t>
  </si>
  <si>
    <t>4.7K</t>
  </si>
  <si>
    <t>R8, R12, R13, R14, R15</t>
  </si>
  <si>
    <t>R9, R11</t>
  </si>
  <si>
    <t>3.3K</t>
  </si>
  <si>
    <t>R10, R16</t>
  </si>
  <si>
    <t>5301-6P6C</t>
  </si>
  <si>
    <t>RJ1</t>
  </si>
  <si>
    <t>RJ45-TH_5301-6P6C</t>
  </si>
  <si>
    <t>EVERCOM(恒连)</t>
  </si>
  <si>
    <t>C3097716</t>
  </si>
  <si>
    <t>4.7kΩ</t>
  </si>
  <si>
    <t>RN1, RN2</t>
  </si>
  <si>
    <t>RES-ARRAY-SMD_0603-8P-L3.2-W1.6-BL</t>
  </si>
  <si>
    <t>4D03WGJ0472T5E</t>
  </si>
  <si>
    <t>C1980</t>
  </si>
  <si>
    <t>ZX-PZ1.27-1-2PZZ</t>
  </si>
  <si>
    <t>RST, SPI</t>
  </si>
  <si>
    <t>HDR-TH_2P-P1.27-V-M-2</t>
  </si>
  <si>
    <t>Megastar(兆星)</t>
  </si>
  <si>
    <t>C41370734</t>
  </si>
  <si>
    <t>M3螺孔</t>
  </si>
  <si>
    <t>TP1, TP2, TP3, TP4</t>
  </si>
  <si>
    <t>M3螺孔外直径6MM</t>
  </si>
  <si>
    <t>TPS5450DDAR</t>
  </si>
  <si>
    <t>U1</t>
  </si>
  <si>
    <t>SOP-8_L4.9-W3.9-P1.27-LS6.0-BL-EP</t>
  </si>
  <si>
    <t>TI(德州仪器)</t>
  </si>
  <si>
    <t>C114425</t>
  </si>
  <si>
    <t>AMS1117-3.3</t>
  </si>
  <si>
    <t>U2, U3</t>
  </si>
  <si>
    <t>SOT-223-4_L6.5-W3.5-P2.30-LS7.0-BR</t>
  </si>
  <si>
    <t>UMW(友台半导体)</t>
  </si>
  <si>
    <t>C347222</t>
  </si>
  <si>
    <t>CP2102-GMR</t>
  </si>
  <si>
    <t>U4</t>
  </si>
  <si>
    <t>WQFN-28_L5.0-W5.0-P0.50-BL-EP3.2</t>
  </si>
  <si>
    <t>SKYWORKS/SILICON LABS(芯科)</t>
  </si>
  <si>
    <t>C6568</t>
  </si>
  <si>
    <t>ESP32-WROOM-32E-N16</t>
  </si>
  <si>
    <t>U5</t>
  </si>
  <si>
    <t>WIFI-SMD_ESP32-WROOM-32E</t>
  </si>
  <si>
    <t>ESPRESSIF(乐鑫)</t>
  </si>
  <si>
    <t>C701343</t>
  </si>
  <si>
    <t>ESP-07S</t>
  </si>
  <si>
    <t>U6</t>
  </si>
  <si>
    <t>WIRELM-SMD_ESP-07S</t>
  </si>
  <si>
    <t>2.4GHz</t>
  </si>
  <si>
    <t>Ai-Thinker(安信可)</t>
  </si>
  <si>
    <t>C82895</t>
  </si>
  <si>
    <t>DS3231SN#</t>
  </si>
  <si>
    <t>U7</t>
  </si>
  <si>
    <t>SOIC-16_L10.3-W7.5-P1.27-LS10.3-BL</t>
  </si>
  <si>
    <t>ADI(亚德诺)/MAXIM(美信)</t>
  </si>
  <si>
    <t>C722469</t>
  </si>
  <si>
    <t>HOME-RA</t>
  </si>
  <si>
    <t>U8</t>
  </si>
  <si>
    <t>CONN-TH_XH-3A</t>
  </si>
  <si>
    <t>C7432683</t>
  </si>
  <si>
    <t>LIMIT-RA</t>
  </si>
  <si>
    <t>U9</t>
  </si>
  <si>
    <t>HOME-DEC</t>
  </si>
  <si>
    <t>U10</t>
  </si>
  <si>
    <t>LIMIT-DEC</t>
  </si>
  <si>
    <t>U11</t>
  </si>
  <si>
    <t>TMC2209-RA</t>
  </si>
  <si>
    <t>U12</t>
  </si>
  <si>
    <t>TMC2209</t>
  </si>
  <si>
    <t>TMC2209-DEC</t>
  </si>
  <si>
    <t>U13</t>
  </si>
  <si>
    <t>USB-B10-BRW</t>
  </si>
  <si>
    <t>USB1</t>
  </si>
  <si>
    <t>USB-B-TH_USB-B10-BRW</t>
  </si>
  <si>
    <t>XUNPU(讯普)</t>
  </si>
  <si>
    <t>C720549</t>
  </si>
  <si>
    <t>Project Title</t>
  </si>
  <si>
    <t>Borard Title</t>
  </si>
  <si>
    <t>Leo_V1_STEP/DIR/SPI(已验证)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</si>
  <si>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</si>
  <si>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</si>
  <si>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</si>
  <si>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</si>
  <si>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</si>
  <si>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</si>
  <si>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</si>
  <si>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21:4:49</t>
  </si>
  <si>
    <t>Report Date</t>
  </si>
  <si>
    <t>2026年6月3日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</si>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</sst>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24</v>
      </c>
      <c r="I7" s="9" t="s">
        <v>25</v>
      </c>
      <c r="J7" s="9" t="s">
        <v>26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2</v>
      </c>
      <c r="C8" s="9" t="s">
        <v>27</v>
      </c>
      <c r="D8" s="9" t="s">
        <v>28</v>
      </c>
      <c r="E8" s="9" t="s">
        <v>29</v>
      </c>
      <c r="F8" s="9" t="s">
        <v>0</v>
      </c>
      <c r="G8" s="9" t="s">
        <v>27</v>
      </c>
      <c r="H8" s="9" t="s">
        <v>30</v>
      </c>
      <c r="I8" s="9" t="s">
        <v>31</v>
      </c>
      <c r="J8" s="9" t="s">
        <v>26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32</v>
      </c>
      <c r="D9" s="9" t="s">
        <v>33</v>
      </c>
      <c r="E9" s="9" t="s">
        <v>34</v>
      </c>
      <c r="F9" s="9" t="s">
        <v>0</v>
      </c>
      <c r="G9" s="9" t="s">
        <v>32</v>
      </c>
      <c r="H9" s="9" t="s">
        <v>35</v>
      </c>
      <c r="I9" s="9" t="s">
        <v>36</v>
      </c>
      <c r="J9" s="9" t="s">
        <v>26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3</v>
      </c>
      <c r="C10" s="9" t="s">
        <v>37</v>
      </c>
      <c r="D10" s="9" t="s">
        <v>38</v>
      </c>
      <c r="E10" s="9" t="s">
        <v>39</v>
      </c>
      <c r="F10" s="9" t="s">
        <v>37</v>
      </c>
      <c r="G10" s="9" t="s">
        <v>40</v>
      </c>
      <c r="H10" s="9" t="s">
        <v>41</v>
      </c>
      <c r="I10" s="9" t="s">
        <v>42</v>
      </c>
      <c r="J10" s="9" t="s">
        <v>26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2</v>
      </c>
      <c r="C11" s="9" t="s">
        <v>43</v>
      </c>
      <c r="D11" s="9" t="s">
        <v>44</v>
      </c>
      <c r="E11" s="9" t="s">
        <v>45</v>
      </c>
      <c r="F11" s="9" t="s">
        <v>43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4</v>
      </c>
      <c r="C12" s="9" t="s">
        <v>46</v>
      </c>
      <c r="D12" s="9" t="s">
        <v>47</v>
      </c>
      <c r="E12" s="9" t="s">
        <v>45</v>
      </c>
      <c r="F12" s="9" t="s">
        <v>46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48</v>
      </c>
      <c r="D13" s="9" t="s">
        <v>49</v>
      </c>
      <c r="E13" s="9" t="s">
        <v>45</v>
      </c>
      <c r="F13" s="9" t="s">
        <v>48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4</v>
      </c>
      <c r="C14" s="9" t="s">
        <v>48</v>
      </c>
      <c r="D14" s="9" t="s">
        <v>50</v>
      </c>
      <c r="E14" s="9" t="s">
        <v>51</v>
      </c>
      <c r="F14" s="9" t="s">
        <v>48</v>
      </c>
      <c r="G14" s="9" t="s">
        <v>52</v>
      </c>
      <c r="H14" s="9" t="s">
        <v>53</v>
      </c>
      <c r="I14" s="9" t="s">
        <v>54</v>
      </c>
      <c r="J14" s="9" t="s">
        <v>26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4</v>
      </c>
      <c r="C15" s="9" t="s">
        <v>55</v>
      </c>
      <c r="D15" s="9" t="s">
        <v>56</v>
      </c>
      <c r="E15" s="9" t="s">
        <v>57</v>
      </c>
      <c r="F15" s="9" t="s">
        <v>55</v>
      </c>
      <c r="G15" s="9" t="s">
        <v>58</v>
      </c>
      <c r="H15" s="9" t="s">
        <v>53</v>
      </c>
      <c r="I15" s="9" t="s">
        <v>59</v>
      </c>
      <c r="J15" s="9" t="s">
        <v>26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5</v>
      </c>
      <c r="C16" s="9" t="s">
        <v>55</v>
      </c>
      <c r="D16" s="9" t="s">
        <v>60</v>
      </c>
      <c r="E16" s="9" t="s">
        <v>57</v>
      </c>
      <c r="F16" s="9" t="s">
        <v>55</v>
      </c>
      <c r="G16" s="9" t="s">
        <v>0</v>
      </c>
      <c r="H16" s="9" t="s">
        <v>0</v>
      </c>
      <c r="I16" s="9" t="s">
        <v>0</v>
      </c>
      <c r="J16" s="9" t="s">
        <v>0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48</v>
      </c>
      <c r="D17" s="9" t="s">
        <v>61</v>
      </c>
      <c r="E17" s="9" t="s">
        <v>62</v>
      </c>
      <c r="F17" s="9" t="s">
        <v>0</v>
      </c>
      <c r="G17" s="9" t="s">
        <v>63</v>
      </c>
      <c r="H17" s="9" t="s">
        <v>64</v>
      </c>
      <c r="I17" s="9" t="s">
        <v>65</v>
      </c>
      <c r="J17" s="9" t="s">
        <v>26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55</v>
      </c>
      <c r="D18" s="9" t="s">
        <v>66</v>
      </c>
      <c r="E18" s="9" t="s">
        <v>57</v>
      </c>
      <c r="F18" s="9" t="s">
        <v>55</v>
      </c>
      <c r="G18" s="9" t="s">
        <v>67</v>
      </c>
      <c r="H18" s="9" t="s">
        <v>68</v>
      </c>
      <c r="I18" s="9" t="s">
        <v>69</v>
      </c>
      <c r="J18" s="9" t="s">
        <v>26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48</v>
      </c>
      <c r="D19" s="9" t="s">
        <v>70</v>
      </c>
      <c r="E19" s="9" t="s">
        <v>57</v>
      </c>
      <c r="F19" s="9" t="s">
        <v>48</v>
      </c>
      <c r="G19" s="9" t="s">
        <v>71</v>
      </c>
      <c r="H19" s="9" t="s">
        <v>68</v>
      </c>
      <c r="I19" s="9" t="s">
        <v>72</v>
      </c>
      <c r="J19" s="9" t="s">
        <v>26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73</v>
      </c>
      <c r="D20" s="9" t="s">
        <v>74</v>
      </c>
      <c r="E20" s="9" t="s">
        <v>57</v>
      </c>
      <c r="F20" s="9" t="s">
        <v>73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2</v>
      </c>
      <c r="C21" s="9" t="s">
        <v>37</v>
      </c>
      <c r="D21" s="9" t="s">
        <v>75</v>
      </c>
      <c r="E21" s="9" t="s">
        <v>76</v>
      </c>
      <c r="F21" s="9" t="s">
        <v>37</v>
      </c>
      <c r="G21" s="9" t="s">
        <v>77</v>
      </c>
      <c r="H21" s="9" t="s">
        <v>78</v>
      </c>
      <c r="I21" s="9" t="s">
        <v>79</v>
      </c>
      <c r="J21" s="9" t="s">
        <v>26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1</v>
      </c>
      <c r="C22" s="9" t="s">
        <v>80</v>
      </c>
      <c r="D22" s="9" t="s">
        <v>81</v>
      </c>
      <c r="E22" s="9" t="s">
        <v>82</v>
      </c>
      <c r="F22" s="9" t="s">
        <v>0</v>
      </c>
      <c r="G22" s="9" t="s">
        <v>80</v>
      </c>
      <c r="H22" s="9" t="s">
        <v>83</v>
      </c>
      <c r="I22" s="9" t="s">
        <v>84</v>
      </c>
      <c r="J22" s="9" t="s">
        <v>26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85</v>
      </c>
      <c r="D23" s="9" t="s">
        <v>86</v>
      </c>
      <c r="E23" s="9" t="s">
        <v>87</v>
      </c>
      <c r="F23" s="9" t="s">
        <v>0</v>
      </c>
      <c r="G23" s="9" t="s">
        <v>88</v>
      </c>
      <c r="H23" s="9" t="s">
        <v>35</v>
      </c>
      <c r="I23" s="9" t="s">
        <v>89</v>
      </c>
      <c r="J23" s="9" t="s">
        <v>26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90</v>
      </c>
      <c r="D24" s="9" t="s">
        <v>91</v>
      </c>
      <c r="E24" s="9" t="s">
        <v>87</v>
      </c>
      <c r="F24" s="9" t="s">
        <v>0</v>
      </c>
      <c r="G24" s="9" t="s">
        <v>88</v>
      </c>
      <c r="H24" s="9" t="s">
        <v>35</v>
      </c>
      <c r="I24" s="9" t="s">
        <v>89</v>
      </c>
      <c r="J24" s="9" t="s">
        <v>26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92</v>
      </c>
      <c r="D25" s="9" t="s">
        <v>93</v>
      </c>
      <c r="E25" s="9" t="s">
        <v>94</v>
      </c>
      <c r="F25" s="9" t="s">
        <v>0</v>
      </c>
      <c r="G25" s="9" t="s">
        <v>92</v>
      </c>
      <c r="H25" s="9" t="s">
        <v>95</v>
      </c>
      <c r="I25" s="9" t="s">
        <v>96</v>
      </c>
      <c r="J25" s="9" t="s">
        <v>26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97</v>
      </c>
      <c r="D26" s="9" t="s">
        <v>98</v>
      </c>
      <c r="E26" s="9" t="s">
        <v>99</v>
      </c>
      <c r="F26" s="9" t="s">
        <v>0</v>
      </c>
      <c r="G26" s="9" t="s">
        <v>97</v>
      </c>
      <c r="H26" s="9" t="s">
        <v>100</v>
      </c>
      <c r="I26" s="9" t="s">
        <v>101</v>
      </c>
      <c r="J26" s="9" t="s">
        <v>26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3</v>
      </c>
      <c r="C27" s="9" t="s">
        <v>102</v>
      </c>
      <c r="D27" s="9" t="s">
        <v>103</v>
      </c>
      <c r="E27" s="9" t="s">
        <v>104</v>
      </c>
      <c r="F27" s="9" t="s">
        <v>0</v>
      </c>
      <c r="G27" s="9" t="s">
        <v>102</v>
      </c>
      <c r="H27" s="9" t="s">
        <v>105</v>
      </c>
      <c r="I27" s="9" t="s">
        <v>106</v>
      </c>
      <c r="J27" s="9" t="s">
        <v>26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1</v>
      </c>
      <c r="C28" s="9" t="s">
        <v>107</v>
      </c>
      <c r="D28" s="9" t="s">
        <v>108</v>
      </c>
      <c r="E28" s="9" t="s">
        <v>109</v>
      </c>
      <c r="F28" s="9" t="s">
        <v>0</v>
      </c>
      <c r="G28" s="9" t="s">
        <v>107</v>
      </c>
      <c r="H28" s="9" t="s">
        <v>95</v>
      </c>
      <c r="I28" s="9" t="s">
        <v>110</v>
      </c>
      <c r="J28" s="9" t="s">
        <v>26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111</v>
      </c>
      <c r="D29" s="9" t="s">
        <v>112</v>
      </c>
      <c r="E29" s="9" t="s">
        <v>113</v>
      </c>
      <c r="F29" s="9" t="s">
        <v>0</v>
      </c>
      <c r="G29" s="9" t="s">
        <v>111</v>
      </c>
      <c r="H29" s="9" t="s">
        <v>114</v>
      </c>
      <c r="I29" s="9" t="s">
        <v>115</v>
      </c>
      <c r="J29" s="9" t="s">
        <v>26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116</v>
      </c>
      <c r="D30" s="9" t="s">
        <v>117</v>
      </c>
      <c r="E30" s="9" t="s">
        <v>118</v>
      </c>
      <c r="F30" s="9" t="s">
        <v>0</v>
      </c>
      <c r="G30" s="9" t="s">
        <v>116</v>
      </c>
      <c r="H30" s="9" t="s">
        <v>119</v>
      </c>
      <c r="I30" s="9" t="s">
        <v>120</v>
      </c>
      <c r="J30" s="9" t="s">
        <v>26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121</v>
      </c>
      <c r="D31" s="9" t="s">
        <v>122</v>
      </c>
      <c r="E31" s="9" t="s">
        <v>123</v>
      </c>
      <c r="F31" s="9" t="s">
        <v>0</v>
      </c>
      <c r="G31" s="9" t="s">
        <v>121</v>
      </c>
      <c r="H31" s="9" t="s">
        <v>124</v>
      </c>
      <c r="I31" s="9" t="s">
        <v>125</v>
      </c>
      <c r="J31" s="9" t="s">
        <v>26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126</v>
      </c>
      <c r="D32" s="9" t="s">
        <v>127</v>
      </c>
      <c r="E32" s="9" t="s">
        <v>128</v>
      </c>
      <c r="F32" s="9" t="s">
        <v>0</v>
      </c>
      <c r="G32" s="9" t="s">
        <v>126</v>
      </c>
      <c r="H32" s="9" t="s">
        <v>129</v>
      </c>
      <c r="I32" s="9" t="s">
        <v>130</v>
      </c>
      <c r="J32" s="9" t="s">
        <v>26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3</v>
      </c>
      <c r="C33" s="9" t="s">
        <v>131</v>
      </c>
      <c r="D33" s="9" t="s">
        <v>132</v>
      </c>
      <c r="E33" s="9" t="s">
        <v>133</v>
      </c>
      <c r="F33" s="9" t="s">
        <v>0</v>
      </c>
      <c r="G33" s="9" t="s">
        <v>131</v>
      </c>
      <c r="H33" s="9" t="s">
        <v>134</v>
      </c>
      <c r="I33" s="9" t="s">
        <v>135</v>
      </c>
      <c r="J33" s="9" t="s">
        <v>26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136</v>
      </c>
      <c r="D34" s="9" t="s">
        <v>137</v>
      </c>
      <c r="E34" s="9" t="s">
        <v>138</v>
      </c>
      <c r="F34" s="9" t="s">
        <v>136</v>
      </c>
      <c r="G34" s="9" t="s">
        <v>139</v>
      </c>
      <c r="H34" s="9" t="s">
        <v>140</v>
      </c>
      <c r="I34" s="9" t="s">
        <v>141</v>
      </c>
      <c r="J34" s="9" t="s">
        <v>26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142</v>
      </c>
      <c r="D35" s="9" t="s">
        <v>143</v>
      </c>
      <c r="E35" s="9" t="s">
        <v>144</v>
      </c>
      <c r="F35" s="9" t="s">
        <v>0</v>
      </c>
      <c r="G35" s="9" t="s">
        <v>142</v>
      </c>
      <c r="H35" s="9" t="s">
        <v>145</v>
      </c>
      <c r="I35" s="9" t="s">
        <v>146</v>
      </c>
      <c r="J35" s="9" t="s">
        <v>26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2</v>
      </c>
      <c r="C36" s="9" t="s">
        <v>147</v>
      </c>
      <c r="D36" s="9" t="s">
        <v>148</v>
      </c>
      <c r="E36" s="9" t="s">
        <v>149</v>
      </c>
      <c r="F36" s="9" t="s">
        <v>0</v>
      </c>
      <c r="G36" s="9" t="s">
        <v>147</v>
      </c>
      <c r="H36" s="9" t="s">
        <v>150</v>
      </c>
      <c r="I36" s="9" t="s">
        <v>151</v>
      </c>
      <c r="J36" s="9" t="s">
        <v>26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152</v>
      </c>
      <c r="D37" s="9" t="s">
        <v>153</v>
      </c>
      <c r="E37" s="9" t="s">
        <v>154</v>
      </c>
      <c r="F37" s="9" t="s">
        <v>152</v>
      </c>
      <c r="G37" s="9" t="s">
        <v>0</v>
      </c>
      <c r="H37" s="9" t="s">
        <v>0</v>
      </c>
      <c r="I37" s="9" t="s">
        <v>0</v>
      </c>
      <c r="J37" s="9" t="s">
        <v>0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1</v>
      </c>
      <c r="C38" s="9" t="s">
        <v>155</v>
      </c>
      <c r="D38" s="9" t="s">
        <v>156</v>
      </c>
      <c r="E38" s="9" t="s">
        <v>154</v>
      </c>
      <c r="F38" s="9" t="s">
        <v>155</v>
      </c>
      <c r="G38" s="9" t="s">
        <v>0</v>
      </c>
      <c r="H38" s="9" t="s">
        <v>0</v>
      </c>
      <c r="I38" s="9" t="s">
        <v>0</v>
      </c>
      <c r="J38" s="9" t="s">
        <v>0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2</v>
      </c>
      <c r="C39" s="9" t="s">
        <v>157</v>
      </c>
      <c r="D39" s="9" t="s">
        <v>158</v>
      </c>
      <c r="E39" s="9" t="s">
        <v>159</v>
      </c>
      <c r="F39" s="9" t="s">
        <v>157</v>
      </c>
      <c r="G39" s="9" t="s">
        <v>160</v>
      </c>
      <c r="H39" s="9" t="s">
        <v>161</v>
      </c>
      <c r="I39" s="9" t="s">
        <v>162</v>
      </c>
      <c r="J39" s="9" t="s">
        <v>26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2</v>
      </c>
      <c r="C40" s="9" t="s">
        <v>163</v>
      </c>
      <c r="D40" s="9" t="s">
        <v>164</v>
      </c>
      <c r="E40" s="9" t="s">
        <v>159</v>
      </c>
      <c r="F40" s="9" t="s">
        <v>163</v>
      </c>
      <c r="G40" s="9" t="s">
        <v>165</v>
      </c>
      <c r="H40" s="9" t="s">
        <v>161</v>
      </c>
      <c r="I40" s="9" t="s">
        <v>166</v>
      </c>
      <c r="J40" s="9" t="s">
        <v>26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1</v>
      </c>
      <c r="C41" s="9" t="s">
        <v>167</v>
      </c>
      <c r="D41" s="9" t="s">
        <v>168</v>
      </c>
      <c r="E41" s="9" t="s">
        <v>159</v>
      </c>
      <c r="F41" s="9" t="s">
        <v>167</v>
      </c>
      <c r="G41" s="9" t="s">
        <v>0</v>
      </c>
      <c r="H41" s="9" t="s">
        <v>0</v>
      </c>
      <c r="I41" s="9" t="s">
        <v>0</v>
      </c>
      <c r="J41" s="9" t="s">
        <v>0</v>
      </c>
      <c r="K41" s="9" t="s">
        <v>0</v>
      </c>
      <c r="L41" s="10">
        <f>B41*K41</f>
      </c>
    </row>
    <row r="42" spans="1:12" x14ac:dyDescent="0.25">
      <c r="A42" s="8">
        <f>ROW()-6</f>
      </c>
      <c r="B42" s="9">
        <v>5</v>
      </c>
      <c r="C42" s="9" t="s">
        <v>169</v>
      </c>
      <c r="D42" s="9" t="s">
        <v>170</v>
      </c>
      <c r="E42" s="9" t="s">
        <v>159</v>
      </c>
      <c r="F42" s="9" t="s">
        <v>169</v>
      </c>
      <c r="G42" s="9" t="s">
        <v>0</v>
      </c>
      <c r="H42" s="9" t="s">
        <v>0</v>
      </c>
      <c r="I42" s="9" t="s">
        <v>0</v>
      </c>
      <c r="J42" s="9" t="s">
        <v>0</v>
      </c>
      <c r="K42" s="9" t="s">
        <v>0</v>
      </c>
      <c r="L42" s="10">
        <f>B42*K42</f>
      </c>
    </row>
    <row r="43" spans="1:12" x14ac:dyDescent="0.25">
      <c r="A43" s="8">
        <f>ROW()-6</f>
      </c>
      <c r="B43" s="9">
        <v>2</v>
      </c>
      <c r="C43" s="9" t="s">
        <v>152</v>
      </c>
      <c r="D43" s="9" t="s">
        <v>171</v>
      </c>
      <c r="E43" s="9" t="s">
        <v>159</v>
      </c>
      <c r="F43" s="9" t="s">
        <v>152</v>
      </c>
      <c r="G43" s="9" t="s">
        <v>0</v>
      </c>
      <c r="H43" s="9" t="s">
        <v>0</v>
      </c>
      <c r="I43" s="9" t="s">
        <v>0</v>
      </c>
      <c r="J43" s="9" t="s">
        <v>0</v>
      </c>
      <c r="K43" s="9" t="s">
        <v>0</v>
      </c>
      <c r="L43" s="10">
        <f>B43*K43</f>
      </c>
    </row>
    <row r="44" spans="1:12" x14ac:dyDescent="0.25">
      <c r="A44" s="8">
        <f>ROW()-6</f>
      </c>
      <c r="B44" s="9">
        <v>2</v>
      </c>
      <c r="C44" s="9" t="s">
        <v>172</v>
      </c>
      <c r="D44" s="9" t="s">
        <v>173</v>
      </c>
      <c r="E44" s="9" t="s">
        <v>159</v>
      </c>
      <c r="F44" s="9" t="s">
        <v>172</v>
      </c>
      <c r="G44" s="9" t="s">
        <v>0</v>
      </c>
      <c r="H44" s="9" t="s">
        <v>0</v>
      </c>
      <c r="I44" s="9" t="s">
        <v>0</v>
      </c>
      <c r="J44" s="9" t="s">
        <v>0</v>
      </c>
      <c r="K44" s="9" t="s">
        <v>0</v>
      </c>
      <c r="L44" s="10">
        <f>B44*K44</f>
      </c>
    </row>
    <row r="45" spans="1:12" x14ac:dyDescent="0.25">
      <c r="A45" s="8">
        <f>ROW()-6</f>
      </c>
      <c r="B45" s="9">
        <v>1</v>
      </c>
      <c r="C45" s="9" t="s">
        <v>174</v>
      </c>
      <c r="D45" s="9" t="s">
        <v>175</v>
      </c>
      <c r="E45" s="9" t="s">
        <v>176</v>
      </c>
      <c r="F45" s="9" t="s">
        <v>0</v>
      </c>
      <c r="G45" s="9" t="s">
        <v>174</v>
      </c>
      <c r="H45" s="9" t="s">
        <v>177</v>
      </c>
      <c r="I45" s="9" t="s">
        <v>178</v>
      </c>
      <c r="J45" s="9" t="s">
        <v>26</v>
      </c>
      <c r="K45" s="9" t="s">
        <v>0</v>
      </c>
      <c r="L45" s="10">
        <f>B45*K45</f>
      </c>
    </row>
    <row r="46" spans="1:12" x14ac:dyDescent="0.25">
      <c r="A46" s="8">
        <f>ROW()-6</f>
      </c>
      <c r="B46" s="9">
        <v>2</v>
      </c>
      <c r="C46" s="9" t="s">
        <v>179</v>
      </c>
      <c r="D46" s="9" t="s">
        <v>180</v>
      </c>
      <c r="E46" s="9" t="s">
        <v>181</v>
      </c>
      <c r="F46" s="9" t="s">
        <v>179</v>
      </c>
      <c r="G46" s="9" t="s">
        <v>182</v>
      </c>
      <c r="H46" s="9" t="s">
        <v>161</v>
      </c>
      <c r="I46" s="9" t="s">
        <v>183</v>
      </c>
      <c r="J46" s="9" t="s">
        <v>26</v>
      </c>
      <c r="K46" s="9" t="s">
        <v>0</v>
      </c>
      <c r="L46" s="10">
        <f>B46*K46</f>
      </c>
    </row>
    <row r="47" spans="1:12" x14ac:dyDescent="0.25">
      <c r="A47" s="8">
        <f>ROW()-6</f>
      </c>
      <c r="B47" s="9">
        <v>2</v>
      </c>
      <c r="C47" s="9" t="s">
        <v>184</v>
      </c>
      <c r="D47" s="9" t="s">
        <v>185</v>
      </c>
      <c r="E47" s="9" t="s">
        <v>186</v>
      </c>
      <c r="F47" s="9" t="s">
        <v>0</v>
      </c>
      <c r="G47" s="9" t="s">
        <v>184</v>
      </c>
      <c r="H47" s="9" t="s">
        <v>187</v>
      </c>
      <c r="I47" s="9" t="s">
        <v>188</v>
      </c>
      <c r="J47" s="9" t="s">
        <v>26</v>
      </c>
      <c r="K47" s="9" t="s">
        <v>0</v>
      </c>
      <c r="L47" s="10">
        <f>B47*K47</f>
      </c>
    </row>
    <row r="48" spans="1:12" x14ac:dyDescent="0.25">
      <c r="A48" s="8">
        <f>ROW()-6</f>
      </c>
      <c r="B48" s="9">
        <v>4</v>
      </c>
      <c r="C48" s="9" t="s">
        <v>189</v>
      </c>
      <c r="D48" s="9" t="s">
        <v>190</v>
      </c>
      <c r="E48" s="9" t="s">
        <v>191</v>
      </c>
      <c r="F48" s="9" t="s">
        <v>0</v>
      </c>
      <c r="G48" s="9" t="s">
        <v>0</v>
      </c>
      <c r="H48" s="9" t="s">
        <v>0</v>
      </c>
      <c r="I48" s="9" t="s">
        <v>0</v>
      </c>
      <c r="J48" s="9" t="s">
        <v>0</v>
      </c>
      <c r="K48" s="9" t="s">
        <v>0</v>
      </c>
      <c r="L48" s="10">
        <f>B48*K48</f>
      </c>
    </row>
    <row r="49" spans="1:12" x14ac:dyDescent="0.25">
      <c r="A49" s="8">
        <f>ROW()-6</f>
      </c>
      <c r="B49" s="9">
        <v>1</v>
      </c>
      <c r="C49" s="9" t="s">
        <v>192</v>
      </c>
      <c r="D49" s="9" t="s">
        <v>193</v>
      </c>
      <c r="E49" s="9" t="s">
        <v>194</v>
      </c>
      <c r="F49" s="9" t="s">
        <v>0</v>
      </c>
      <c r="G49" s="9" t="s">
        <v>192</v>
      </c>
      <c r="H49" s="9" t="s">
        <v>195</v>
      </c>
      <c r="I49" s="9" t="s">
        <v>196</v>
      </c>
      <c r="J49" s="9" t="s">
        <v>26</v>
      </c>
      <c r="K49" s="9" t="s">
        <v>0</v>
      </c>
      <c r="L49" s="10">
        <f>B49*K49</f>
      </c>
    </row>
    <row r="50" spans="1:12" x14ac:dyDescent="0.25">
      <c r="A50" s="8">
        <f>ROW()-6</f>
      </c>
      <c r="B50" s="9">
        <v>2</v>
      </c>
      <c r="C50" s="9" t="s">
        <v>197</v>
      </c>
      <c r="D50" s="9" t="s">
        <v>198</v>
      </c>
      <c r="E50" s="9" t="s">
        <v>199</v>
      </c>
      <c r="F50" s="9" t="s">
        <v>0</v>
      </c>
      <c r="G50" s="9" t="s">
        <v>197</v>
      </c>
      <c r="H50" s="9" t="s">
        <v>200</v>
      </c>
      <c r="I50" s="9" t="s">
        <v>201</v>
      </c>
      <c r="J50" s="9" t="s">
        <v>26</v>
      </c>
      <c r="K50" s="9" t="s">
        <v>0</v>
      </c>
      <c r="L50" s="10">
        <f>B50*K50</f>
      </c>
    </row>
    <row r="51" spans="1:12" x14ac:dyDescent="0.25">
      <c r="A51" s="8">
        <f>ROW()-6</f>
      </c>
      <c r="B51" s="9">
        <v>1</v>
      </c>
      <c r="C51" s="9" t="s">
        <v>202</v>
      </c>
      <c r="D51" s="9" t="s">
        <v>203</v>
      </c>
      <c r="E51" s="9" t="s">
        <v>204</v>
      </c>
      <c r="F51" s="9" t="s">
        <v>0</v>
      </c>
      <c r="G51" s="9" t="s">
        <v>202</v>
      </c>
      <c r="H51" s="9" t="s">
        <v>205</v>
      </c>
      <c r="I51" s="9" t="s">
        <v>206</v>
      </c>
      <c r="J51" s="9" t="s">
        <v>26</v>
      </c>
      <c r="K51" s="9" t="s">
        <v>0</v>
      </c>
      <c r="L51" s="10">
        <f>B51*K51</f>
      </c>
    </row>
    <row r="52" spans="1:12" x14ac:dyDescent="0.25">
      <c r="A52" s="8">
        <f>ROW()-6</f>
      </c>
      <c r="B52" s="9">
        <v>1</v>
      </c>
      <c r="C52" s="9" t="s">
        <v>207</v>
      </c>
      <c r="D52" s="9" t="s">
        <v>208</v>
      </c>
      <c r="E52" s="9" t="s">
        <v>209</v>
      </c>
      <c r="F52" s="9" t="s">
        <v>0</v>
      </c>
      <c r="G52" s="9" t="s">
        <v>207</v>
      </c>
      <c r="H52" s="9" t="s">
        <v>210</v>
      </c>
      <c r="I52" s="9" t="s">
        <v>211</v>
      </c>
      <c r="J52" s="9" t="s">
        <v>26</v>
      </c>
      <c r="K52" s="9" t="s">
        <v>0</v>
      </c>
      <c r="L52" s="10">
        <f>B52*K52</f>
      </c>
    </row>
    <row r="53" spans="1:12" x14ac:dyDescent="0.25">
      <c r="A53" s="8">
        <f>ROW()-6</f>
      </c>
      <c r="B53" s="9">
        <v>1</v>
      </c>
      <c r="C53" s="9" t="s">
        <v>212</v>
      </c>
      <c r="D53" s="9" t="s">
        <v>213</v>
      </c>
      <c r="E53" s="9" t="s">
        <v>214</v>
      </c>
      <c r="F53" s="9" t="s">
        <v>215</v>
      </c>
      <c r="G53" s="9" t="s">
        <v>212</v>
      </c>
      <c r="H53" s="9" t="s">
        <v>216</v>
      </c>
      <c r="I53" s="9" t="s">
        <v>217</v>
      </c>
      <c r="J53" s="9" t="s">
        <v>26</v>
      </c>
      <c r="K53" s="9" t="s">
        <v>0</v>
      </c>
      <c r="L53" s="10">
        <f>B53*K53</f>
      </c>
    </row>
    <row r="54" spans="1:12" x14ac:dyDescent="0.25">
      <c r="A54" s="8">
        <f>ROW()-6</f>
      </c>
      <c r="B54" s="9">
        <v>1</v>
      </c>
      <c r="C54" s="9" t="s">
        <v>218</v>
      </c>
      <c r="D54" s="9" t="s">
        <v>219</v>
      </c>
      <c r="E54" s="9" t="s">
        <v>220</v>
      </c>
      <c r="F54" s="9" t="s">
        <v>0</v>
      </c>
      <c r="G54" s="9" t="s">
        <v>218</v>
      </c>
      <c r="H54" s="9" t="s">
        <v>221</v>
      </c>
      <c r="I54" s="9" t="s">
        <v>222</v>
      </c>
      <c r="J54" s="9" t="s">
        <v>26</v>
      </c>
      <c r="K54" s="9" t="s">
        <v>0</v>
      </c>
      <c r="L54" s="10">
        <f>B54*K54</f>
      </c>
    </row>
    <row r="55" spans="1:12" x14ac:dyDescent="0.25">
      <c r="A55" s="8">
        <f>ROW()-6</f>
      </c>
      <c r="B55" s="9">
        <v>1</v>
      </c>
      <c r="C55" s="9" t="s">
        <v>223</v>
      </c>
      <c r="D55" s="9" t="s">
        <v>224</v>
      </c>
      <c r="E55" s="9" t="s">
        <v>225</v>
      </c>
      <c r="F55" s="9" t="s">
        <v>0</v>
      </c>
      <c r="G55" s="9" t="s">
        <v>223</v>
      </c>
      <c r="H55" s="9" t="s">
        <v>35</v>
      </c>
      <c r="I55" s="9" t="s">
        <v>226</v>
      </c>
      <c r="J55" s="9" t="s">
        <v>26</v>
      </c>
      <c r="K55" s="9" t="s">
        <v>0</v>
      </c>
      <c r="L55" s="10">
        <f>B55*K55</f>
      </c>
    </row>
    <row r="56" spans="1:12" x14ac:dyDescent="0.25">
      <c r="A56" s="8">
        <f>ROW()-6</f>
      </c>
      <c r="B56" s="9">
        <v>1</v>
      </c>
      <c r="C56" s="9" t="s">
        <v>227</v>
      </c>
      <c r="D56" s="9" t="s">
        <v>228</v>
      </c>
      <c r="E56" s="9" t="s">
        <v>225</v>
      </c>
      <c r="F56" s="9" t="s">
        <v>0</v>
      </c>
      <c r="G56" s="9" t="s">
        <v>227</v>
      </c>
      <c r="H56" s="9" t="s">
        <v>35</v>
      </c>
      <c r="I56" s="9" t="s">
        <v>226</v>
      </c>
      <c r="J56" s="9" t="s">
        <v>26</v>
      </c>
      <c r="K56" s="9" t="s">
        <v>0</v>
      </c>
      <c r="L56" s="10">
        <f>B56*K56</f>
      </c>
    </row>
    <row r="57" spans="1:12" x14ac:dyDescent="0.25">
      <c r="A57" s="8">
        <f>ROW()-6</f>
      </c>
      <c r="B57" s="9">
        <v>1</v>
      </c>
      <c r="C57" s="9" t="s">
        <v>229</v>
      </c>
      <c r="D57" s="9" t="s">
        <v>230</v>
      </c>
      <c r="E57" s="9" t="s">
        <v>225</v>
      </c>
      <c r="F57" s="9" t="s">
        <v>0</v>
      </c>
      <c r="G57" s="9" t="s">
        <v>229</v>
      </c>
      <c r="H57" s="9" t="s">
        <v>35</v>
      </c>
      <c r="I57" s="9" t="s">
        <v>226</v>
      </c>
      <c r="J57" s="9" t="s">
        <v>26</v>
      </c>
      <c r="K57" s="9" t="s">
        <v>0</v>
      </c>
      <c r="L57" s="10">
        <f>B57*K57</f>
      </c>
    </row>
    <row r="58" spans="1:12" x14ac:dyDescent="0.25">
      <c r="A58" s="8">
        <f>ROW()-6</f>
      </c>
      <c r="B58" s="9">
        <v>1</v>
      </c>
      <c r="C58" s="9" t="s">
        <v>231</v>
      </c>
      <c r="D58" s="9" t="s">
        <v>232</v>
      </c>
      <c r="E58" s="9" t="s">
        <v>225</v>
      </c>
      <c r="F58" s="9" t="s">
        <v>0</v>
      </c>
      <c r="G58" s="9" t="s">
        <v>231</v>
      </c>
      <c r="H58" s="9" t="s">
        <v>35</v>
      </c>
      <c r="I58" s="9" t="s">
        <v>226</v>
      </c>
      <c r="J58" s="9" t="s">
        <v>26</v>
      </c>
      <c r="K58" s="9" t="s">
        <v>0</v>
      </c>
      <c r="L58" s="10">
        <f>B58*K58</f>
      </c>
    </row>
    <row r="59" spans="1:12" x14ac:dyDescent="0.25">
      <c r="A59" s="8">
        <f>ROW()-6</f>
      </c>
      <c r="B59" s="9">
        <v>1</v>
      </c>
      <c r="C59" s="9" t="s">
        <v>233</v>
      </c>
      <c r="D59" s="9" t="s">
        <v>234</v>
      </c>
      <c r="E59" s="9" t="s">
        <v>235</v>
      </c>
      <c r="F59" s="9" t="s">
        <v>0</v>
      </c>
      <c r="G59" s="9" t="s">
        <v>0</v>
      </c>
      <c r="H59" s="9" t="s">
        <v>0</v>
      </c>
      <c r="I59" s="9" t="s">
        <v>0</v>
      </c>
      <c r="J59" s="9" t="s">
        <v>0</v>
      </c>
      <c r="K59" s="9" t="s">
        <v>0</v>
      </c>
      <c r="L59" s="10">
        <f>B59*K59</f>
      </c>
    </row>
    <row r="60" spans="1:12" x14ac:dyDescent="0.25">
      <c r="A60" s="8">
        <f>ROW()-6</f>
      </c>
      <c r="B60" s="9">
        <v>1</v>
      </c>
      <c r="C60" s="9" t="s">
        <v>236</v>
      </c>
      <c r="D60" s="9" t="s">
        <v>237</v>
      </c>
      <c r="E60" s="9" t="s">
        <v>235</v>
      </c>
      <c r="F60" s="9" t="s">
        <v>0</v>
      </c>
      <c r="G60" s="9" t="s">
        <v>0</v>
      </c>
      <c r="H60" s="9" t="s">
        <v>0</v>
      </c>
      <c r="I60" s="9" t="s">
        <v>0</v>
      </c>
      <c r="J60" s="9" t="s">
        <v>0</v>
      </c>
      <c r="K60" s="9" t="s">
        <v>0</v>
      </c>
      <c r="L60" s="10">
        <f>B60*K60</f>
      </c>
    </row>
    <row r="61" spans="1:12" x14ac:dyDescent="0.25">
      <c r="A61" s="8">
        <f>ROW()-6</f>
      </c>
      <c r="B61" s="9">
        <v>1</v>
      </c>
      <c r="C61" s="9" t="s">
        <v>238</v>
      </c>
      <c r="D61" s="9" t="s">
        <v>239</v>
      </c>
      <c r="E61" s="9" t="s">
        <v>240</v>
      </c>
      <c r="F61" s="9" t="s">
        <v>0</v>
      </c>
      <c r="G61" s="9" t="s">
        <v>238</v>
      </c>
      <c r="H61" s="9" t="s">
        <v>241</v>
      </c>
      <c r="I61" s="9" t="s">
        <v>242</v>
      </c>
      <c r="J61" s="9" t="s">
        <v>26</v>
      </c>
      <c r="K61" s="9" t="s">
        <v>0</v>
      </c>
      <c r="L61" s="10">
        <f>B61*K61</f>
      </c>
    </row>
    <row r="62" spans="1:12" x14ac:dyDescent="0.25">
      <c r="A62" s="8">
        <f>ROW()-6</f>
      </c>
      <c r="B62" s="11">
        <f>SUM(L7:L61)</f>
      </c>
      <c r="C62" s="11"/>
      <c r="D62" s="11"/>
      <c r="E62" s="11"/>
      <c r="F62" s="11"/>
      <c r="G62" s="11"/>
      <c r="H62" s="11"/>
      <c r="I62" s="11"/>
      <c r="J62" s="11"/>
      <c r="K62" s="11"/>
      <c r="L62" s="11"/>
    </row>
  </sheetData>
  <mergeCells count="4">
    <mergeCell ref="A1:D5"/>
    <mergeCell ref="E1:E2"/>
    <mergeCell ref="F1:F2"/>
    <mergeCell ref="B62:L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243</v>
      </c>
      <c r="B1" s="6" t="s">
        <v>4</v>
      </c>
    </row>
    <row r="2" spans="1:2" x14ac:dyDescent="0.25">
      <c r="A2" s="6" t="s">
        <v>244</v>
      </c>
      <c r="B2" s="6" t="s">
        <v>245</v>
      </c>
    </row>
    <row r="3" spans="1:2" x14ac:dyDescent="0.25">
      <c r="A3" s="6" t="s">
        <v>246</v>
      </c>
      <c r="B3" s="6" t="s">
        <v>247</v>
      </c>
    </row>
    <row r="4" spans="1:2" x14ac:dyDescent="0.25">
      <c r="A4" s="6" t="s">
        <v>248</v>
      </c>
      <c r="B4" s="6" t="s">
        <v>249</v>
      </c>
    </row>
    <row r="5" spans="1:2" x14ac:dyDescent="0.25">
      <c r="A5" s="6" t="s">
        <v>250</v>
      </c>
      <c r="B5" s="6" t="s">
        <v>6</v>
      </c>
    </row>
    <row r="6" spans="1:2" x14ac:dyDescent="0.25">
      <c r="A6" s="6" t="s">
        <v>251</v>
      </c>
      <c r="B6" s="6">
        <v>92</v>
      </c>
    </row>
    <row r="7" spans="1:2" x14ac:dyDescent="0.25">
      <c r="A7" s="6" t="s">
        <v>252</v>
      </c>
      <c r="B7" s="6" t="s">
        <v>253</v>
      </c>
    </row>
    <row r="8" spans="1:2" x14ac:dyDescent="0.25">
      <c r="A8" s="6" t="s">
        <v>254</v>
      </c>
      <c r="B8" s="6" t="s">
        <v>255</v>
      </c>
    </row>
    <row r="9" spans="1:2" x14ac:dyDescent="0.25">
      <c r="A9" s="6" t="s">
        <v>256</v>
      </c>
      <c r="B9" s="6" t="s">
        <v>8</v>
      </c>
    </row>
    <row r="10" spans="1:2" x14ac:dyDescent="0.25">
      <c r="A10" s="6" t="s">
        <v>257</v>
      </c>
      <c r="B10" s="6" t="s">
        <v>2</v>
      </c>
    </row>
    <row r="11" spans="1:2" x14ac:dyDescent="0.25">
      <c r="A11" s="6" t="s">
        <v>258</v>
      </c>
      <c r="B11" s="6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2026-06-03T13:04:49Z</dcterms:modified>
</cp:coreProperties>
</file>